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Kecheng Li\DEEP LEARNING for primary cilia reconization and length measurement\Cilia Statistic and Measurement\templates\"/>
    </mc:Choice>
  </mc:AlternateContent>
  <xr:revisionPtr revIDLastSave="0" documentId="13_ncr:1_{BAD89498-D2FA-479C-9BEE-900CBCA0DFC6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 a="1"/>
  <c r="G8" i="1" s="1"/>
  <c r="G7" i="1" a="1"/>
  <c r="G7" i="1" s="1"/>
  <c r="G6" i="1"/>
  <c r="G5" i="1"/>
  <c r="G3" i="1"/>
  <c r="G2" i="1"/>
  <c r="G4" i="1" l="1"/>
</calcChain>
</file>

<file path=xl/sharedStrings.xml><?xml version="1.0" encoding="utf-8"?>
<sst xmlns="http://schemas.openxmlformats.org/spreadsheetml/2006/main" count="15" uniqueCount="15">
  <si>
    <t>Details</t>
  </si>
  <si>
    <t>Statistics</t>
  </si>
  <si>
    <t>Parameters</t>
  </si>
  <si>
    <t>2D length(μm)</t>
  </si>
  <si>
    <t>3D  length(μm)</t>
  </si>
  <si>
    <t>Count of cilia</t>
    <phoneticPr fontId="2" type="noConversion"/>
  </si>
  <si>
    <t>Count of nuclei</t>
    <phoneticPr fontId="2" type="noConversion"/>
  </si>
  <si>
    <t>Ciliated cells rate</t>
    <phoneticPr fontId="2" type="noConversion"/>
  </si>
  <si>
    <t>SD of 2D ciliary length</t>
    <phoneticPr fontId="2" type="noConversion"/>
  </si>
  <si>
    <t>SD of 3D ciliary length</t>
    <phoneticPr fontId="2" type="noConversion"/>
  </si>
  <si>
    <t>Average of 2D ciliary length</t>
    <phoneticPr fontId="2" type="noConversion"/>
  </si>
  <si>
    <t>Average of 3D ciliary length</t>
    <phoneticPr fontId="2" type="noConversion"/>
  </si>
  <si>
    <t>ID</t>
    <phoneticPr fontId="2" type="noConversion"/>
  </si>
  <si>
    <t>Ciliated</t>
    <phoneticPr fontId="2" type="noConversion"/>
  </si>
  <si>
    <t>Box Coordinate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</si>
</sst>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2" sqref="H2:I8"/>
    </sheetView>
  </sheetViews>
  <sheetFormatPr defaultColWidth="9" defaultRowHeight="15.6" x14ac:dyDescent="0.25"/>
  <cols>
    <col min="1" max="1" width="15.6640625" style="2" customWidth="1"/>
    <col min="2" max="2" width="15.6640625" style="3" customWidth="1"/>
    <col min="3" max="3" width="39.44140625" style="3" customWidth="1"/>
    <col min="4" max="5" width="19.88671875" style="3" customWidth="1"/>
    <col min="6" max="6" width="29.21875" customWidth="1"/>
    <col min="7" max="7" width="10" bestFit="1" customWidth="1"/>
    <col min="8" max="8" width="16.21875" customWidth="1"/>
    <col min="9" max="9" width="21" customWidth="1"/>
  </cols>
  <sheetData>
    <row r="1" spans="1:9" x14ac:dyDescent="0.25">
      <c r="A1" s="11" t="s">
        <v>0</v>
      </c>
      <c r="B1" s="12"/>
      <c r="C1" s="12"/>
      <c r="D1" s="12"/>
      <c r="E1" s="12"/>
      <c r="F1" s="8" t="s">
        <v>1</v>
      </c>
      <c r="G1" s="8"/>
      <c r="H1" s="9" t="s">
        <v>2</v>
      </c>
      <c r="I1" s="10"/>
    </row>
    <row r="2" spans="1:9" s="1" customFormat="1" x14ac:dyDescent="0.25">
      <c r="A2" s="13"/>
      <c r="B2" s="14"/>
      <c r="C2" s="14"/>
      <c r="D2" s="14"/>
      <c r="E2" s="14"/>
      <c r="F2" s="6" t="s">
        <v>5</v>
      </c>
      <c r="G2" s="5">
        <f>COUNTIF(B:B,"Y")</f>
        <v>0</v>
      </c>
      <c r="H2" s="15"/>
      <c r="I2" s="16"/>
    </row>
    <row r="3" spans="1:9" s="1" customFormat="1" x14ac:dyDescent="0.25">
      <c r="A3" s="13"/>
      <c r="B3" s="14"/>
      <c r="C3" s="14"/>
      <c r="D3" s="14"/>
      <c r="E3" s="14"/>
      <c r="F3" s="6" t="s">
        <v>6</v>
      </c>
      <c r="G3" s="5">
        <f>COUNT(A:A)</f>
        <v>0</v>
      </c>
      <c r="H3" s="17"/>
      <c r="I3" s="18"/>
    </row>
    <row r="4" spans="1:9" s="1" customFormat="1" x14ac:dyDescent="0.25">
      <c r="A4" s="7" t="s">
        <v>12</v>
      </c>
      <c r="B4" s="7" t="s">
        <v>13</v>
      </c>
      <c r="C4" s="7" t="s">
        <v>14</v>
      </c>
      <c r="D4" s="4" t="s">
        <v>3</v>
      </c>
      <c r="E4" s="4" t="s">
        <v>4</v>
      </c>
      <c r="F4" s="6" t="s">
        <v>7</v>
      </c>
      <c r="G4" s="5" t="e">
        <f>G2/G3</f>
        <v>#DIV/0!</v>
      </c>
      <c r="H4" s="17"/>
      <c r="I4" s="18"/>
    </row>
    <row r="5" spans="1:9" x14ac:dyDescent="0.25">
      <c r="F5" s="6" t="s">
        <v>10</v>
      </c>
      <c r="G5" s="5" t="e">
        <f>AVERAGEIF(D:D,"&lt;&gt;0")</f>
        <v>#DIV/0!</v>
      </c>
      <c r="H5" s="17"/>
      <c r="I5" s="18"/>
    </row>
    <row r="6" spans="1:9" x14ac:dyDescent="0.25">
      <c r="F6" s="6" t="s">
        <v>11</v>
      </c>
      <c r="G6" s="5" t="e">
        <f>AVERAGEIF(E:E,"&lt;&gt;0")</f>
        <v>#DIV/0!</v>
      </c>
      <c r="H6" s="17"/>
      <c r="I6" s="18"/>
    </row>
    <row r="7" spans="1:9" x14ac:dyDescent="0.25">
      <c r="F7" s="6" t="s">
        <v>8</v>
      </c>
      <c r="G7" s="5" t="e">
        <f t="array" ref="G7">_xlfn.STDEV.P(IF(D:D&lt;&gt;0,D:D))</f>
        <v>#DIV/0!</v>
      </c>
      <c r="H7" s="17"/>
      <c r="I7" s="18"/>
    </row>
    <row r="8" spans="1:9" x14ac:dyDescent="0.25">
      <c r="F8" s="6" t="s">
        <v>9</v>
      </c>
      <c r="G8" s="5" t="e">
        <f t="array" ref="G8">_xlfn.STDEV.P(IF(E:E&lt;&gt;0,E:E))</f>
        <v>#DIV/0!</v>
      </c>
      <c r="H8" s="19"/>
      <c r="I8" s="20"/>
    </row>
  </sheetData>
  <mergeCells count="4">
    <mergeCell ref="F1:G1"/>
    <mergeCell ref="H1:I1"/>
    <mergeCell ref="H2:I8"/>
    <mergeCell ref="A1:E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Venngair</dc:creator>
  <cp:lastModifiedBy>科成 李</cp:lastModifiedBy>
  <dcterms:created xsi:type="dcterms:W3CDTF">2025-08-13T10:07:00Z</dcterms:created>
  <dcterms:modified xsi:type="dcterms:W3CDTF">2025-12-18T03:20:42Z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78D95AE73ECA421794696E1457D575EE_11</vt:lpwstr>
  </property>
  <property fmtid="{D5CDD505-2E9C-101B-9397-08002B2CF9AE}" pid="3" name="KSOProductBuildVer">
    <vt:lpwstr>2052-11.1.0.15320</vt:lpwstr>
  </property>
</Properties>
</file>